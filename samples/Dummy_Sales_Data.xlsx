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192.168.10.14\SGPersonal\sgpersonal\SG Group Accounts\Billing\FEMA\"/>
    </mc:Choice>
  </mc:AlternateContent>
  <xr:revisionPtr revIDLastSave="0" documentId="8_{1B810561-4D9E-4152-B84C-D110190B3107}" xr6:coauthVersionLast="47" xr6:coauthVersionMax="47" xr10:uidLastSave="{00000000-0000-0000-0000-000000000000}"/>
  <bookViews>
    <workbookView xWindow="28680" yWindow="-120" windowWidth="29040" windowHeight="15720" xr2:uid="{13CD71AC-614D-47B2-8234-0A4951D70D28}"/>
  </bookViews>
  <sheets>
    <sheet name="EDF Dummy - Services" sheetId="1" r:id="rId1"/>
  </sheets>
  <definedNames>
    <definedName name="SpellAmount">_xlfn.LAMBDA(_xlpm.amt,_xlpm.ccy,_xlfn.LET(_xlpm.a,ROUND(_xlpm.amt,2),_xlpm.w0,INT(_xlpm.a),_xlpm.c0,ROUND((_xlpm.a-_xlpm.w0)*100,0),_xlpm.w,_xlpm.w0+IF(_xlpm.c0=100,1,0),_xlpm.c,IF(_xlpm.c0=100,0,_xlpm.c0),_xlpm.u,UPPER(_xlpm.ccy),_xlpm.mn,_xlfn.IFS(_xlpm.u="USD","US Dollars",_xlpm.u="GBP","Pounds",_xlpm.u="EUR","Euros",_xlpm.u="INR","Rupees",_xlpm.u="AUD","Australian Dollars",_xlpm.u="CAD","Canadian Dollars",_xlpm.u="SGD","Singapore Dollars",TRUE,_xlpm.ccy),_xlpm.sn,_xlfn.IFS(_xlpm.u="USD","Cents",_xlpm.u="GBP","Pence",_xlpm.u="EUR","Cents",_xlpm.u="INR","Paise",TRUE,"Cents"),_xlpm.base,_xlpm.mn&amp;" "&amp;IF(_xlpm.w=0,"Zero",SpellNumber(_xlpm.w)),_xlpm.full,IF(_xlpm.c&gt;0,_xlpm.base&amp;" and "&amp;_xlpm.sn&amp;" "&amp;SpellNumber(_xlpm.c),_xlpm.base),_xlpm.full&amp;" Only"))</definedName>
    <definedName name="SpellGroup">_xlfn.LAMBDA(_xlpm.n,_xlfn.LET(_xlpm.ones,{"","One","Two","Three","Four","Five","Six","Seven","Eight","Nine","Ten","Eleven","Twelve","Thirteen","Fourteen","Fifteen","Sixteen","Seventeen","Eighteen","Nineteen"},_xlpm.tens,{"","","Twenty","Thirty","Forty","Fifty","Sixty","Seventy","Eighty","Ninety"},_xlpm.h,INT(_xlpm.n/100),_xlpm.r,MOD(_xlpm.n,100),_xlpm.hW,IF(_xlpm.h&gt;0,INDEX(_xlpm.ones,_xlpm.h+1)&amp;" Hundred",""),_xlpm.rW,IF(_xlpm.r=0,"",IF(_xlpm.r&lt;20,INDEX(_xlpm.ones,_xlpm.r+1),TRIM(INDEX(_xlpm.tens,INT(_xlpm.r/10)+1)&amp;" "&amp;IF(MOD(_xlpm.r,10)&gt;0,INDEX(_xlpm.ones,MOD(_xlpm.r,10)+1),"")))),TRIM(_xlpm.hW&amp;IF(AND(_xlpm.h&gt;0,_xlpm.r&gt;0)," ","")&amp;_xlpm.rW)))</definedName>
    <definedName name="SpellNumber">_xlfn.LAMBDA(_xlpm.n,IF(_xlpm.n=0,"Zero",_xlfn.LET(_xlpm.b,INT(_xlpm.n/1000000000),_xlpm.m,INT(MOD(_xlpm.n,1000000000)/1000000),_xlpm.t,INT(MOD(_xlpm.n,1000000)/1000),_xlpm.u,MOD(_xlpm.n,1000),TRIM(IF(_xlpm.b&gt;0,SpellGroup(_xlpm.b)&amp;" Billion ","")&amp;IF(_xlpm.m&gt;0,SpellGroup(_xlpm.m)&amp;" Million ","")&amp;IF(_xlpm.t&gt;0,SpellGroup(_xlpm.t)&amp;" Thousand ","")&amp;IF(_xlpm.u&gt;0,SpellGroup(_xlpm.u),"")))))</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25" i="1" l="1"/>
  <c r="N24" i="1"/>
  <c r="N26" i="1" s="1"/>
  <c r="N23" i="1"/>
  <c r="N22" i="1"/>
  <c r="N21" i="1"/>
  <c r="A21" i="1"/>
  <c r="A22" i="1" s="1"/>
  <c r="A23" i="1" s="1"/>
  <c r="A24" i="1" s="1"/>
  <c r="A25" i="1" s="1"/>
  <c r="I17" i="1" l="1"/>
  <c r="D17" i="1"/>
</calcChain>
</file>

<file path=xl/sharedStrings.xml><?xml version="1.0" encoding="utf-8"?>
<sst xmlns="http://schemas.openxmlformats.org/spreadsheetml/2006/main" count="117" uniqueCount="109">
  <si>
    <t>Annex</t>
  </si>
  <si>
    <t>Export Declaration Form (EDF) – DUMMY DATA: Export of Services (Consolidated for October 2026)</t>
  </si>
  <si>
    <t>Illustrative data only – entity, client and invoice details are fictitious. Blue text = dummy inputs.</t>
  </si>
  <si>
    <t>1. General Information:</t>
  </si>
  <si>
    <t>Type of export : Goods/Service</t>
  </si>
  <si>
    <t>Service</t>
  </si>
  <si>
    <t>Form No:</t>
  </si>
  <si>
    <t>EDF/2026-27/OCT/0001</t>
  </si>
  <si>
    <t>Shipping Bill No. &amp; Date:</t>
  </si>
  <si>
    <t>Not applicable (export of services)</t>
  </si>
  <si>
    <t>Mode of Transport/Delivery:</t>
  </si>
  <si>
    <t>[X] Internet / electronic delivery</t>
  </si>
  <si>
    <t>Category of Exporter:</t>
  </si>
  <si>
    <t>[X] Custom (DTA units)</t>
  </si>
  <si>
    <t>AD code:</t>
  </si>
  <si>
    <t>0510005</t>
  </si>
  <si>
    <t>IE Code:</t>
  </si>
  <si>
    <t>0512345678</t>
  </si>
  <si>
    <t>AD Name &amp; Address:</t>
  </si>
  <si>
    <t>XYZ Bank Ltd., Trade Finance Branch, Nariman Point, Mumbai – 400021</t>
  </si>
  <si>
    <t>GSTIN:</t>
  </si>
  <si>
    <t>27AABCA1234F1Z5</t>
  </si>
  <si>
    <t>PAN:</t>
  </si>
  <si>
    <t>AABCA1234F</t>
  </si>
  <si>
    <t>Exporters Name &amp; Address:</t>
  </si>
  <si>
    <t>ABC Global Services Pvt. Ltd., 5th Floor, Tech Park, Andheri (E), Mumbai – 400093</t>
  </si>
  <si>
    <t>Mode of Realisation:</t>
  </si>
  <si>
    <t>[X] Others (advance payment, etc. including transfer/remittance to bank a/c maintained overseas) – SWIFT remittance</t>
  </si>
  <si>
    <t>Consignee Name &amp; Address:</t>
  </si>
  <si>
    <t>As per Section 2B (multiple service recipients)</t>
  </si>
  <si>
    <t>Port of Loading / Source Port in case of SEZ:</t>
  </si>
  <si>
    <t>Not applicable</t>
  </si>
  <si>
    <t>Third Party name &amp; Address (In case of third Party Payments for Exports):</t>
  </si>
  <si>
    <t>Not applicable – payments received directly from service recipients</t>
  </si>
  <si>
    <t>Country of Final Destination / Port of Discharge:</t>
  </si>
  <si>
    <t>Multiple – as per Section 2B / Not applicable</t>
  </si>
  <si>
    <t>Relationship between Exporter &amp; Third Party:</t>
  </si>
  <si>
    <t>Name of the AD and AD code, in case of LC/BG:</t>
  </si>
  <si>
    <t>Date of Let Export order (LEO):</t>
  </si>
  <si>
    <t>Description of Goods/Services:</t>
  </si>
  <si>
    <t>Accounting, bookkeeping, payroll &amp; finance support services (SAC 998221 / 998222)</t>
  </si>
  <si>
    <t>Total FOB/Services value in words (INR):</t>
  </si>
  <si>
    <t>Total Services value (INR):</t>
  </si>
  <si>
    <t>2B. Details of Export Value^ of Services</t>
  </si>
  <si>
    <t>Details of services provided to multiple recipients</t>
  </si>
  <si>
    <t>Working (not part of form)</t>
  </si>
  <si>
    <t>S. No.</t>
  </si>
  <si>
    <t>Service recipient Name &amp; Address</t>
  </si>
  <si>
    <t>Country</t>
  </si>
  <si>
    <t>Invoice No.</t>
  </si>
  <si>
    <t>Invoice Date</t>
  </si>
  <si>
    <t>Currency</t>
  </si>
  <si>
    <t>Invoice Amount</t>
  </si>
  <si>
    <t>Net Realisable value</t>
  </si>
  <si>
    <t>Contract No., if any, and Date</t>
  </si>
  <si>
    <t>Description of services</t>
  </si>
  <si>
    <t>SAC Code</t>
  </si>
  <si>
    <t>Remarks</t>
  </si>
  <si>
    <t>Exch. Rate (INR)</t>
  </si>
  <si>
    <t>INR Value</t>
  </si>
  <si>
    <t>Northbridge Accounting LLC, 120 Market St, San Francisco, CA 94105</t>
  </si>
  <si>
    <t>USA</t>
  </si>
  <si>
    <t>ABC/EXP/26-27/101</t>
  </si>
  <si>
    <t>USD</t>
  </si>
  <si>
    <t>MSA-NB-2024 dt 01-Apr-2024</t>
  </si>
  <si>
    <t>Monthly bookkeeping &amp; reconciliation – Oct 2026</t>
  </si>
  <si>
    <t>998222</t>
  </si>
  <si>
    <t>Periodical billing</t>
  </si>
  <si>
    <t>Thames Payroll Solutions Ltd, 45 King William St, London EC4R 9AN</t>
  </si>
  <si>
    <t>United Kingdom</t>
  </si>
  <si>
    <t>ABC/EXP/26-27/102</t>
  </si>
  <si>
    <t>GBP</t>
  </si>
  <si>
    <t>SA-TPS-2025 dt 15-Jun-2025</t>
  </si>
  <si>
    <t>Payroll processing services – Oct 2026</t>
  </si>
  <si>
    <t>998221</t>
  </si>
  <si>
    <t>Rhein Finanz GmbH, Königsallee 60, 40212 Düsseldorf</t>
  </si>
  <si>
    <t>Germany</t>
  </si>
  <si>
    <t>ABC/EXP/26-27/103</t>
  </si>
  <si>
    <t>EUR</t>
  </si>
  <si>
    <t>SOW-RF-07 dt 10-Jan-2026</t>
  </si>
  <si>
    <t>Accounts payable &amp; month-end close support</t>
  </si>
  <si>
    <t>EUR 200 bank charges deducted</t>
  </si>
  <si>
    <t>Harbour CPA Pty Ltd, 200 George St, Sydney NSW 2000</t>
  </si>
  <si>
    <t>Australia</t>
  </si>
  <si>
    <t>ABC/EXP/26-27/104</t>
  </si>
  <si>
    <t>AUD</t>
  </si>
  <si>
    <t>MSA-HC-2023 dt 01-Jul-2023</t>
  </si>
  <si>
    <t>Tax return preparation support</t>
  </si>
  <si>
    <t>Milestone billing</t>
  </si>
  <si>
    <t>Gulf Advisory FZ-LLC, Dubai Internet City, Dubai</t>
  </si>
  <si>
    <t>UAE</t>
  </si>
  <si>
    <t>ABC/EXP/26-27/105</t>
  </si>
  <si>
    <t>EL-GA-2026 dt 01-Aug-2026</t>
  </si>
  <si>
    <t>Financial reporting &amp; MIS services</t>
  </si>
  <si>
    <t>Advance received</t>
  </si>
  <si>
    <t>Total (INR equivalent)</t>
  </si>
  <si>
    <t>3. Applicable for Export under FPO/Couriers</t>
  </si>
  <si>
    <t>Name of the Foreign post Office/Courier: Not applicable</t>
  </si>
  <si>
    <t>Stamp &amp; Signature of Authorised Dealer</t>
  </si>
  <si>
    <t>Number &amp; date of Parcel receipts: Not applicable</t>
  </si>
  <si>
    <t>4. Declaration by the Exporters (All types of exports)</t>
  </si>
  <si>
    <t>I/We hereby declare that I/We am/are the provider of services in respect of which this declaration is made and that the particulars given above are true and that the value to be received from the buyer/third party represents the export value contracted and declared above. I/We undertake that I/We will deliver to the authorised dealer named above the foreign exchange representing the full value of the services exported as above within 9 months from the respective invoice dates (i.e. within the period of realisation stipulated by RBI from time to time) in the manner specified in the Regulations made under the Foreign Exchange Management Act, 1999. I/We also undertake to submit the documents pertaining to exports declared in this form, to the Authorised Dealer named above, as may be required under the Act.</t>
  </si>
  <si>
    <t>Date: 31-Oct-2026</t>
  </si>
  <si>
    <t>For ABC Global Services Pvt. Ltd. – (Signature of Exporter)  Authorised Signatory</t>
  </si>
  <si>
    <t>5. Space for use of Specified Authority (Custom/SEZ/AD/STPI):</t>
  </si>
  <si>
    <t>Certified, on the basis of above declaration at 4, that the services described above and the export value^ declared by the exporter in this form is as per the corresponding invoice/gist of invoices submitted and declared by the exporter.</t>
  </si>
  <si>
    <t>Date:</t>
  </si>
  <si>
    <t>(Signature of Designated/Authorised officials of Custom/SEZ/Authorised Dealer/STPI)</t>
  </si>
  <si>
    <t>Notes: Dummy consolidated EDF for multiple recipients in a month (filed before receipt of payment). Realisation due within 9 months from invoice date. Section 2A (goods) not applicable for export of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</si>
</sst>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8" x14ac:knownFonts="1">
    <font>
      <sz val="11"/>
      <color theme="1"/>
      <name val="Calibri"/>
      <family val="2"/>
      <scheme val="minor"/>
    </font>
    <font>
      <b/>
      <sz val="11"/>
      <color theme="1"/>
      <name val="Calibri"/>
      <family val="2"/>
      <scheme val="minor"/>
    </font>
    <font>
      <sz val="9"/>
      <color theme="1"/>
      <name val="Arial"/>
    </font>
    <font>
      <i/>
      <sz val="11"/>
      <color theme="1"/>
      <name val="Calibri"/>
      <family val="2"/>
      <scheme val="minor"/>
    </font>
    <font>
      <sz val="11"/>
      <color rgb="FF0000FF"/>
      <name val="Calibri"/>
      <family val="2"/>
      <scheme val="minor"/>
    </font>
    <font>
      <sz val="11"/>
      <color rgb="FF000000"/>
      <name val="Calibri"/>
      <family val="2"/>
      <scheme val="minor"/>
    </font>
    <font>
      <b/>
      <sz val="9"/>
      <color theme="1"/>
      <name val="Arial"/>
    </font>
    <font>
      <sz val="9"/>
      <color rgb="FF0000FF"/>
      <name val="Arial"/>
    </font>
  </fonts>
  <fills count="4">
    <fill>
      <patternFill patternType="none"/>
    </fill>
    <fill>
      <patternFill patternType="gray125"/>
    </fill>
    <fill>
      <patternFill patternType="solid">
        <fgColor rgb="FFD9E1F2"/>
        <bgColor indexed="64"/>
      </patternFill>
    </fill>
    <fill>
      <patternFill patternType="solid">
        <fgColor rgb="FFF2F2F2"/>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bottom style="thin">
        <color rgb="FF808080"/>
      </bottom>
      <diagonal/>
    </border>
    <border>
      <left/>
      <right/>
      <top/>
      <bottom style="thin">
        <color rgb="FF808080"/>
      </bottom>
      <diagonal/>
    </border>
    <border>
      <left style="thin">
        <color rgb="FF808080"/>
      </left>
      <right/>
      <top style="thin">
        <color rgb="FF808080"/>
      </top>
      <bottom style="thin">
        <color rgb="FF808080"/>
      </bottom>
      <diagonal/>
    </border>
  </borders>
  <cellStyleXfs count="1">
    <xf numFmtId="0" fontId="0" fillId="0" borderId="0"/>
  </cellStyleXfs>
  <cellXfs count="30">
    <xf numFmtId="0" fontId="0" fillId="0" borderId="0" xfId="0"/>
    <xf numFmtId="0" fontId="1" fillId="0" borderId="0" xfId="0" applyFont="1" applyAlignment="1">
      <alignment horizontal="right" vertical="top" wrapText="1"/>
    </xf>
    <xf numFmtId="0" fontId="2" fillId="0" borderId="0" xfId="0" applyFont="1"/>
    <xf numFmtId="0" fontId="1" fillId="0" borderId="0" xfId="0" applyFont="1" applyAlignment="1">
      <alignment horizontal="center" vertical="top" wrapText="1"/>
    </xf>
    <xf numFmtId="0" fontId="3" fillId="0" borderId="0" xfId="0" applyFont="1" applyAlignment="1">
      <alignment horizontal="center" vertical="top" wrapText="1"/>
    </xf>
    <xf numFmtId="0" fontId="1" fillId="2" borderId="1" xfId="0" applyFont="1" applyFill="1" applyBorder="1" applyAlignment="1">
      <alignment vertical="top" wrapText="1"/>
    </xf>
    <xf numFmtId="0" fontId="0" fillId="0" borderId="1" xfId="0" applyBorder="1" applyAlignment="1">
      <alignment vertical="top" wrapText="1"/>
    </xf>
    <xf numFmtId="0" fontId="4" fillId="0" borderId="1" xfId="0" applyFont="1" applyBorder="1" applyAlignment="1">
      <alignment vertical="top" wrapText="1"/>
    </xf>
    <xf numFmtId="49" fontId="4" fillId="0" borderId="1" xfId="0" applyNumberFormat="1" applyFont="1" applyBorder="1" applyAlignment="1">
      <alignment horizontal="left" vertical="top" wrapText="1"/>
    </xf>
    <xf numFmtId="0" fontId="5" fillId="0" borderId="1" xfId="0" applyFont="1" applyBorder="1" applyAlignment="1">
      <alignment vertical="top" wrapText="1"/>
    </xf>
    <xf numFmtId="164" fontId="5" fillId="0" borderId="1" xfId="0" applyNumberFormat="1" applyFont="1" applyBorder="1" applyAlignment="1">
      <alignment vertical="top" wrapText="1"/>
    </xf>
    <xf numFmtId="0" fontId="3" fillId="0" borderId="2" xfId="0" applyFont="1" applyBorder="1"/>
    <xf numFmtId="0" fontId="3" fillId="0" borderId="3" xfId="0" applyFont="1" applyBorder="1"/>
    <xf numFmtId="0" fontId="6" fillId="3" borderId="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2" fillId="0" borderId="1" xfId="0" applyFont="1" applyBorder="1" applyAlignment="1">
      <alignment vertical="top" wrapText="1"/>
    </xf>
    <xf numFmtId="0" fontId="7" fillId="0" borderId="1" xfId="0" applyFont="1" applyBorder="1" applyAlignment="1">
      <alignment vertical="top" wrapText="1"/>
    </xf>
    <xf numFmtId="15" fontId="7" fillId="0" borderId="1" xfId="0" applyNumberFormat="1" applyFont="1" applyBorder="1" applyAlignment="1">
      <alignment vertical="top" wrapText="1"/>
    </xf>
    <xf numFmtId="4" fontId="7" fillId="0" borderId="1" xfId="0" applyNumberFormat="1" applyFont="1" applyBorder="1" applyAlignment="1">
      <alignment vertical="top" wrapText="1"/>
    </xf>
    <xf numFmtId="49" fontId="7" fillId="0" borderId="1" xfId="0" applyNumberFormat="1" applyFont="1" applyBorder="1" applyAlignment="1">
      <alignment vertical="top" wrapText="1"/>
    </xf>
    <xf numFmtId="0" fontId="7" fillId="0" borderId="4" xfId="0" applyFont="1" applyBorder="1" applyAlignment="1">
      <alignment vertical="top" wrapText="1"/>
    </xf>
    <xf numFmtId="2" fontId="7" fillId="0" borderId="1" xfId="0" applyNumberFormat="1" applyFont="1" applyBorder="1" applyAlignment="1">
      <alignment vertical="top" wrapText="1"/>
    </xf>
    <xf numFmtId="164" fontId="2" fillId="0" borderId="1" xfId="0" applyNumberFormat="1" applyFont="1" applyBorder="1" applyAlignment="1">
      <alignment vertical="top" wrapText="1"/>
    </xf>
    <xf numFmtId="0" fontId="1" fillId="0" borderId="1" xfId="0" applyFont="1" applyBorder="1"/>
    <xf numFmtId="4" fontId="6" fillId="0" borderId="1" xfId="0" applyNumberFormat="1" applyFont="1" applyBorder="1"/>
    <xf numFmtId="0" fontId="6" fillId="0" borderId="1" xfId="0" applyFont="1" applyBorder="1"/>
    <xf numFmtId="0" fontId="6" fillId="0" borderId="4" xfId="0" applyFont="1" applyBorder="1"/>
    <xf numFmtId="164" fontId="6" fillId="0" borderId="1" xfId="0" applyNumberFormat="1" applyFont="1" applyBorder="1"/>
    <xf numFmtId="0" fontId="0" fillId="0" borderId="1" xfId="0" applyBorder="1" applyAlignment="1">
      <alignment horizontal="righ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0F08388-9E63-42BA-B2D2-079B548D6908}">
  <we:reference id="29673e3c-d826-4f00-92ee-162334a52b1a" version="1.0.0.8" store="EXCatalog" storeType="EXCatalog"/>
  <we:alternateReferences>
    <we:reference id="WA200009404" version="1.0.0.8" store="en-US" storeType="OMEX"/>
  </we:alternateReferences>
  <we:properties>
    <we:property name="claude.fileId" value="&quot;2128d369-aa28-41c0-bff3-e90c4eab46f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3F4D-B9FC-4C26-860F-5107C01D6F9C}">
  <dimension ref="A1:N37"/>
  <sheetViews>
    <sheetView showGridLines="0" tabSelected="1" topLeftCell="A16" workbookViewId="0">
      <selection activeCell="O17" sqref="O17:P17"/>
    </sheetView>
  </sheetViews>
  <sheetFormatPr defaultRowHeight="15" x14ac:dyDescent="0.25"/>
  <cols>
    <col min="1" max="1" width="4.5703125" style="2" customWidth="1"/>
    <col min="2" max="2" width="25.140625" style="2" customWidth="1"/>
    <col min="3" max="4" width="12.5703125" style="2" customWidth="1"/>
    <col min="5" max="5" width="11.42578125" style="2" customWidth="1"/>
    <col min="6" max="6" width="9.140625" style="2"/>
    <col min="7" max="7" width="12.5703125" style="2" customWidth="1"/>
    <col min="8" max="8" width="13.7109375" style="2" customWidth="1"/>
    <col min="9" max="9" width="18.28515625" style="2" customWidth="1"/>
    <col min="10" max="10" width="25.140625" style="2" customWidth="1"/>
    <col min="11" max="11" width="9.140625" style="2"/>
    <col min="12" max="12" width="18.28515625" style="2" customWidth="1"/>
    <col min="13" max="13" width="11.42578125" style="2" customWidth="1"/>
    <col min="14" max="14" width="14.85546875" style="2" customWidth="1"/>
  </cols>
  <sheetData>
    <row r="1" spans="1:12" x14ac:dyDescent="0.25">
      <c r="A1" s="1" t="s">
        <v>0</v>
      </c>
      <c r="B1" s="1"/>
      <c r="C1" s="1"/>
      <c r="D1" s="1"/>
      <c r="E1" s="1"/>
      <c r="F1" s="1"/>
      <c r="G1" s="1"/>
      <c r="H1" s="1"/>
      <c r="I1" s="1"/>
      <c r="J1" s="1"/>
      <c r="K1" s="1"/>
      <c r="L1" s="1"/>
    </row>
    <row r="2" spans="1:12" x14ac:dyDescent="0.25">
      <c r="A2" s="3" t="s">
        <v>1</v>
      </c>
      <c r="B2" s="3"/>
      <c r="C2" s="3"/>
      <c r="D2" s="3"/>
      <c r="E2" s="3"/>
      <c r="F2" s="3"/>
      <c r="G2" s="3"/>
      <c r="H2" s="3"/>
      <c r="I2" s="3"/>
      <c r="J2" s="3"/>
      <c r="K2" s="3"/>
      <c r="L2" s="3"/>
    </row>
    <row r="3" spans="1:12" x14ac:dyDescent="0.25">
      <c r="A3" s="4" t="s">
        <v>2</v>
      </c>
      <c r="B3" s="4"/>
      <c r="C3" s="4"/>
      <c r="D3" s="4"/>
      <c r="E3" s="4"/>
      <c r="F3" s="4"/>
      <c r="G3" s="4"/>
      <c r="H3" s="4"/>
      <c r="I3" s="4"/>
      <c r="J3" s="4"/>
      <c r="K3" s="4"/>
      <c r="L3" s="4"/>
    </row>
    <row r="4" spans="1:12" x14ac:dyDescent="0.25">
      <c r="A4" s="5" t="s">
        <v>3</v>
      </c>
      <c r="B4" s="5"/>
      <c r="C4" s="5"/>
      <c r="D4" s="5"/>
      <c r="E4" s="5"/>
      <c r="F4" s="5"/>
      <c r="G4" s="5"/>
      <c r="H4" s="5"/>
      <c r="I4" s="5"/>
      <c r="J4" s="5"/>
      <c r="K4" s="5"/>
      <c r="L4" s="5"/>
    </row>
    <row r="5" spans="1:12" ht="26.1" customHeight="1" x14ac:dyDescent="0.25">
      <c r="A5" s="6" t="s">
        <v>4</v>
      </c>
      <c r="B5" s="6"/>
      <c r="C5" s="6"/>
      <c r="D5" s="7" t="s">
        <v>5</v>
      </c>
      <c r="E5" s="7"/>
      <c r="F5" s="7"/>
      <c r="G5" s="6" t="s">
        <v>6</v>
      </c>
      <c r="H5" s="6"/>
      <c r="I5" s="7" t="s">
        <v>7</v>
      </c>
      <c r="J5" s="7"/>
      <c r="K5" s="7"/>
      <c r="L5" s="7"/>
    </row>
    <row r="6" spans="1:12" ht="26.1" customHeight="1" x14ac:dyDescent="0.25">
      <c r="A6" s="6" t="s">
        <v>8</v>
      </c>
      <c r="B6" s="6"/>
      <c r="C6" s="6"/>
      <c r="D6" s="7" t="s">
        <v>9</v>
      </c>
      <c r="E6" s="7"/>
      <c r="F6" s="7"/>
      <c r="G6" s="6" t="s">
        <v>10</v>
      </c>
      <c r="H6" s="6"/>
      <c r="I6" s="7" t="s">
        <v>11</v>
      </c>
      <c r="J6" s="7"/>
      <c r="K6" s="7"/>
      <c r="L6" s="7"/>
    </row>
    <row r="7" spans="1:12" ht="26.1" customHeight="1" x14ac:dyDescent="0.25">
      <c r="A7" s="6" t="s">
        <v>12</v>
      </c>
      <c r="B7" s="6"/>
      <c r="C7" s="6"/>
      <c r="D7" s="7" t="s">
        <v>13</v>
      </c>
      <c r="E7" s="7"/>
      <c r="F7" s="7"/>
      <c r="G7" s="6" t="s">
        <v>14</v>
      </c>
      <c r="H7" s="6"/>
      <c r="I7" s="8" t="s">
        <v>15</v>
      </c>
      <c r="J7" s="7"/>
      <c r="K7" s="7"/>
      <c r="L7" s="7"/>
    </row>
    <row r="8" spans="1:12" ht="26.1" customHeight="1" x14ac:dyDescent="0.25">
      <c r="A8" s="6" t="s">
        <v>16</v>
      </c>
      <c r="B8" s="6"/>
      <c r="C8" s="6"/>
      <c r="D8" s="8" t="s">
        <v>17</v>
      </c>
      <c r="E8" s="7"/>
      <c r="F8" s="7"/>
      <c r="G8" s="6" t="s">
        <v>18</v>
      </c>
      <c r="H8" s="6"/>
      <c r="I8" s="7" t="s">
        <v>19</v>
      </c>
      <c r="J8" s="7"/>
      <c r="K8" s="7"/>
      <c r="L8" s="7"/>
    </row>
    <row r="9" spans="1:12" ht="26.1" customHeight="1" x14ac:dyDescent="0.25">
      <c r="A9" s="6" t="s">
        <v>20</v>
      </c>
      <c r="B9" s="6"/>
      <c r="C9" s="6"/>
      <c r="D9" s="7" t="s">
        <v>21</v>
      </c>
      <c r="E9" s="7"/>
      <c r="F9" s="7"/>
      <c r="G9" s="6"/>
      <c r="H9" s="6"/>
      <c r="I9" s="7"/>
      <c r="J9" s="7"/>
      <c r="K9" s="7"/>
      <c r="L9" s="7"/>
    </row>
    <row r="10" spans="1:12" ht="26.1" customHeight="1" x14ac:dyDescent="0.25">
      <c r="A10" s="6" t="s">
        <v>22</v>
      </c>
      <c r="B10" s="6"/>
      <c r="C10" s="6"/>
      <c r="D10" s="7" t="s">
        <v>23</v>
      </c>
      <c r="E10" s="7"/>
      <c r="F10" s="7"/>
      <c r="G10" s="6"/>
      <c r="H10" s="6"/>
      <c r="I10" s="7"/>
      <c r="J10" s="7"/>
      <c r="K10" s="7"/>
      <c r="L10" s="7"/>
    </row>
    <row r="11" spans="1:12" ht="50.1" customHeight="1" x14ac:dyDescent="0.25">
      <c r="A11" s="6" t="s">
        <v>24</v>
      </c>
      <c r="B11" s="6"/>
      <c r="C11" s="6"/>
      <c r="D11" s="7" t="s">
        <v>25</v>
      </c>
      <c r="E11" s="7"/>
      <c r="F11" s="7"/>
      <c r="G11" s="6" t="s">
        <v>26</v>
      </c>
      <c r="H11" s="6"/>
      <c r="I11" s="7" t="s">
        <v>27</v>
      </c>
      <c r="J11" s="7"/>
      <c r="K11" s="7"/>
      <c r="L11" s="7"/>
    </row>
    <row r="12" spans="1:12" ht="39.950000000000003" customHeight="1" x14ac:dyDescent="0.25">
      <c r="A12" s="6" t="s">
        <v>28</v>
      </c>
      <c r="B12" s="6"/>
      <c r="C12" s="6"/>
      <c r="D12" s="7" t="s">
        <v>29</v>
      </c>
      <c r="E12" s="7"/>
      <c r="F12" s="7"/>
      <c r="G12" s="6" t="s">
        <v>30</v>
      </c>
      <c r="H12" s="6"/>
      <c r="I12" s="7" t="s">
        <v>31</v>
      </c>
      <c r="J12" s="7"/>
      <c r="K12" s="7"/>
      <c r="L12" s="7"/>
    </row>
    <row r="13" spans="1:12" ht="33.950000000000003" customHeight="1" x14ac:dyDescent="0.25">
      <c r="A13" s="6" t="s">
        <v>32</v>
      </c>
      <c r="B13" s="6"/>
      <c r="C13" s="6"/>
      <c r="D13" s="7" t="s">
        <v>33</v>
      </c>
      <c r="E13" s="7"/>
      <c r="F13" s="7"/>
      <c r="G13" s="6" t="s">
        <v>34</v>
      </c>
      <c r="H13" s="6"/>
      <c r="I13" s="7" t="s">
        <v>35</v>
      </c>
      <c r="J13" s="7"/>
      <c r="K13" s="7"/>
      <c r="L13" s="7"/>
    </row>
    <row r="14" spans="1:12" ht="26.1" customHeight="1" x14ac:dyDescent="0.25">
      <c r="A14" s="6" t="s">
        <v>36</v>
      </c>
      <c r="B14" s="6"/>
      <c r="C14" s="6"/>
      <c r="D14" s="7" t="s">
        <v>31</v>
      </c>
      <c r="E14" s="7"/>
      <c r="F14" s="7"/>
      <c r="G14" s="6"/>
      <c r="H14" s="6"/>
      <c r="I14" s="7"/>
      <c r="J14" s="7"/>
      <c r="K14" s="7"/>
      <c r="L14" s="7"/>
    </row>
    <row r="15" spans="1:12" ht="33.950000000000003" customHeight="1" x14ac:dyDescent="0.25">
      <c r="A15" s="6" t="s">
        <v>37</v>
      </c>
      <c r="B15" s="6"/>
      <c r="C15" s="6"/>
      <c r="D15" s="7" t="s">
        <v>31</v>
      </c>
      <c r="E15" s="7"/>
      <c r="F15" s="7"/>
      <c r="G15" s="6" t="s">
        <v>38</v>
      </c>
      <c r="H15" s="6"/>
      <c r="I15" s="7" t="s">
        <v>31</v>
      </c>
      <c r="J15" s="7"/>
      <c r="K15" s="7"/>
      <c r="L15" s="7"/>
    </row>
    <row r="16" spans="1:12" ht="50.1" customHeight="1" x14ac:dyDescent="0.25">
      <c r="A16" s="6" t="s">
        <v>39</v>
      </c>
      <c r="B16" s="6"/>
      <c r="C16" s="6"/>
      <c r="D16" s="7" t="s">
        <v>40</v>
      </c>
      <c r="E16" s="7"/>
      <c r="F16" s="7"/>
      <c r="G16" s="6"/>
      <c r="H16" s="6"/>
      <c r="I16" s="7"/>
      <c r="J16" s="7"/>
      <c r="K16" s="7"/>
      <c r="L16" s="7"/>
    </row>
    <row r="17" spans="1:14" ht="26.1" customHeight="1" x14ac:dyDescent="0.25">
      <c r="A17" s="6" t="s">
        <v>41</v>
      </c>
      <c r="B17" s="6"/>
      <c r="C17" s="6"/>
      <c r="D17" s="9" t="str">
        <f>"Rupees "&amp;TEXT(ROUND(N26,0),"#,##0")&amp;" only"</f>
        <v>Rupees 38,35,545 only</v>
      </c>
      <c r="E17" s="7"/>
      <c r="F17" s="7"/>
      <c r="G17" s="6" t="s">
        <v>42</v>
      </c>
      <c r="H17" s="6"/>
      <c r="I17" s="10">
        <f>N26</f>
        <v>3835545</v>
      </c>
      <c r="J17" s="7"/>
      <c r="K17" s="7"/>
      <c r="L17" s="7"/>
    </row>
    <row r="18" spans="1:14" x14ac:dyDescent="0.25">
      <c r="A18" s="5" t="s">
        <v>43</v>
      </c>
      <c r="B18" s="5"/>
      <c r="C18" s="5"/>
      <c r="D18" s="5"/>
      <c r="E18" s="5"/>
      <c r="F18" s="5"/>
      <c r="G18" s="5"/>
      <c r="H18" s="5"/>
      <c r="I18" s="5"/>
      <c r="J18" s="5"/>
      <c r="K18" s="5"/>
      <c r="L18" s="5"/>
    </row>
    <row r="19" spans="1:14" x14ac:dyDescent="0.25">
      <c r="A19" s="6" t="s">
        <v>44</v>
      </c>
      <c r="B19" s="6"/>
      <c r="C19" s="6"/>
      <c r="D19" s="6"/>
      <c r="E19" s="6"/>
      <c r="F19" s="6"/>
      <c r="G19" s="6"/>
      <c r="H19" s="6"/>
      <c r="I19" s="6"/>
      <c r="J19" s="6"/>
      <c r="K19" s="6"/>
      <c r="L19" s="6"/>
      <c r="M19" s="11" t="s">
        <v>45</v>
      </c>
      <c r="N19" s="12"/>
    </row>
    <row r="20" spans="1:14" ht="39.950000000000003" customHeight="1" x14ac:dyDescent="0.25">
      <c r="A20" s="13" t="s">
        <v>46</v>
      </c>
      <c r="B20" s="13" t="s">
        <v>47</v>
      </c>
      <c r="C20" s="13" t="s">
        <v>48</v>
      </c>
      <c r="D20" s="13" t="s">
        <v>49</v>
      </c>
      <c r="E20" s="13" t="s">
        <v>50</v>
      </c>
      <c r="F20" s="13" t="s">
        <v>51</v>
      </c>
      <c r="G20" s="13" t="s">
        <v>52</v>
      </c>
      <c r="H20" s="13" t="s">
        <v>53</v>
      </c>
      <c r="I20" s="13" t="s">
        <v>54</v>
      </c>
      <c r="J20" s="13" t="s">
        <v>55</v>
      </c>
      <c r="K20" s="13" t="s">
        <v>56</v>
      </c>
      <c r="L20" s="14" t="s">
        <v>57</v>
      </c>
      <c r="M20" s="13" t="s">
        <v>58</v>
      </c>
      <c r="N20" s="13" t="s">
        <v>59</v>
      </c>
    </row>
    <row r="21" spans="1:14" ht="48" customHeight="1" x14ac:dyDescent="0.25">
      <c r="A21" s="15">
        <f>1</f>
        <v>1</v>
      </c>
      <c r="B21" s="16" t="s">
        <v>60</v>
      </c>
      <c r="C21" s="16" t="s">
        <v>61</v>
      </c>
      <c r="D21" s="16" t="s">
        <v>62</v>
      </c>
      <c r="E21" s="17">
        <v>46300</v>
      </c>
      <c r="F21" s="16" t="s">
        <v>63</v>
      </c>
      <c r="G21" s="18">
        <v>12500</v>
      </c>
      <c r="H21" s="18">
        <v>12500</v>
      </c>
      <c r="I21" s="16" t="s">
        <v>64</v>
      </c>
      <c r="J21" s="16" t="s">
        <v>65</v>
      </c>
      <c r="K21" s="19" t="s">
        <v>66</v>
      </c>
      <c r="L21" s="20" t="s">
        <v>67</v>
      </c>
      <c r="M21" s="21">
        <v>83.85</v>
      </c>
      <c r="N21" s="22">
        <f>H21*M21</f>
        <v>1048124.9999999999</v>
      </c>
    </row>
    <row r="22" spans="1:14" ht="48" customHeight="1" x14ac:dyDescent="0.25">
      <c r="A22" s="15">
        <f>A21+1</f>
        <v>2</v>
      </c>
      <c r="B22" s="16" t="s">
        <v>68</v>
      </c>
      <c r="C22" s="16" t="s">
        <v>69</v>
      </c>
      <c r="D22" s="16" t="s">
        <v>70</v>
      </c>
      <c r="E22" s="17">
        <v>46303</v>
      </c>
      <c r="F22" s="16" t="s">
        <v>71</v>
      </c>
      <c r="G22" s="18">
        <v>6800</v>
      </c>
      <c r="H22" s="18">
        <v>6800</v>
      </c>
      <c r="I22" s="16" t="s">
        <v>72</v>
      </c>
      <c r="J22" s="16" t="s">
        <v>73</v>
      </c>
      <c r="K22" s="19" t="s">
        <v>74</v>
      </c>
      <c r="L22" s="20" t="s">
        <v>67</v>
      </c>
      <c r="M22" s="21">
        <v>110.4</v>
      </c>
      <c r="N22" s="22">
        <f>H22*M22</f>
        <v>750720</v>
      </c>
    </row>
    <row r="23" spans="1:14" ht="48" customHeight="1" x14ac:dyDescent="0.25">
      <c r="A23" s="15">
        <f>A22+1</f>
        <v>3</v>
      </c>
      <c r="B23" s="16" t="s">
        <v>75</v>
      </c>
      <c r="C23" s="16" t="s">
        <v>76</v>
      </c>
      <c r="D23" s="16" t="s">
        <v>77</v>
      </c>
      <c r="E23" s="17">
        <v>46307</v>
      </c>
      <c r="F23" s="16" t="s">
        <v>78</v>
      </c>
      <c r="G23" s="18">
        <v>9200</v>
      </c>
      <c r="H23" s="18">
        <v>9000</v>
      </c>
      <c r="I23" s="16" t="s">
        <v>79</v>
      </c>
      <c r="J23" s="16" t="s">
        <v>80</v>
      </c>
      <c r="K23" s="19" t="s">
        <v>66</v>
      </c>
      <c r="L23" s="20" t="s">
        <v>81</v>
      </c>
      <c r="M23" s="21">
        <v>97.2</v>
      </c>
      <c r="N23" s="22">
        <f>H23*M23</f>
        <v>874800</v>
      </c>
    </row>
    <row r="24" spans="1:14" ht="48" customHeight="1" x14ac:dyDescent="0.25">
      <c r="A24" s="15">
        <f>A23+1</f>
        <v>4</v>
      </c>
      <c r="B24" s="16" t="s">
        <v>82</v>
      </c>
      <c r="C24" s="16" t="s">
        <v>83</v>
      </c>
      <c r="D24" s="16" t="s">
        <v>84</v>
      </c>
      <c r="E24" s="17">
        <v>46315</v>
      </c>
      <c r="F24" s="16" t="s">
        <v>85</v>
      </c>
      <c r="G24" s="18">
        <v>15000</v>
      </c>
      <c r="H24" s="18">
        <v>15000</v>
      </c>
      <c r="I24" s="16" t="s">
        <v>86</v>
      </c>
      <c r="J24" s="16" t="s">
        <v>87</v>
      </c>
      <c r="K24" s="19" t="s">
        <v>74</v>
      </c>
      <c r="L24" s="20" t="s">
        <v>88</v>
      </c>
      <c r="M24" s="21">
        <v>55.1</v>
      </c>
      <c r="N24" s="22">
        <f>H24*M24</f>
        <v>826500</v>
      </c>
    </row>
    <row r="25" spans="1:14" ht="48" customHeight="1" x14ac:dyDescent="0.25">
      <c r="A25" s="15">
        <f>A24+1</f>
        <v>5</v>
      </c>
      <c r="B25" s="16" t="s">
        <v>89</v>
      </c>
      <c r="C25" s="16" t="s">
        <v>90</v>
      </c>
      <c r="D25" s="16" t="s">
        <v>91</v>
      </c>
      <c r="E25" s="17">
        <v>46323</v>
      </c>
      <c r="F25" s="16" t="s">
        <v>63</v>
      </c>
      <c r="G25" s="18">
        <v>4000</v>
      </c>
      <c r="H25" s="18">
        <v>4000</v>
      </c>
      <c r="I25" s="16" t="s">
        <v>92</v>
      </c>
      <c r="J25" s="16" t="s">
        <v>93</v>
      </c>
      <c r="K25" s="19" t="s">
        <v>66</v>
      </c>
      <c r="L25" s="20" t="s">
        <v>94</v>
      </c>
      <c r="M25" s="21">
        <v>83.85</v>
      </c>
      <c r="N25" s="22">
        <f>H25*M25</f>
        <v>335400</v>
      </c>
    </row>
    <row r="26" spans="1:14" x14ac:dyDescent="0.25">
      <c r="A26" s="23" t="s">
        <v>95</v>
      </c>
      <c r="B26" s="23"/>
      <c r="C26" s="23"/>
      <c r="D26" s="23"/>
      <c r="E26" s="23"/>
      <c r="F26" s="23"/>
      <c r="G26" s="24"/>
      <c r="H26" s="24"/>
      <c r="I26" s="25"/>
      <c r="J26" s="25"/>
      <c r="K26" s="25"/>
      <c r="L26" s="26"/>
      <c r="M26" s="25"/>
      <c r="N26" s="27">
        <f>SUM(N21:N25)</f>
        <v>3835545</v>
      </c>
    </row>
    <row r="28" spans="1:14" x14ac:dyDescent="0.25">
      <c r="A28" s="5" t="s">
        <v>96</v>
      </c>
      <c r="B28" s="5"/>
      <c r="C28" s="5"/>
      <c r="D28" s="5"/>
      <c r="E28" s="5"/>
      <c r="F28" s="5"/>
      <c r="G28" s="5"/>
      <c r="H28" s="5"/>
      <c r="I28" s="5"/>
      <c r="J28" s="5"/>
      <c r="K28" s="5"/>
      <c r="L28" s="5"/>
    </row>
    <row r="29" spans="1:14" x14ac:dyDescent="0.25">
      <c r="A29" s="6" t="s">
        <v>97</v>
      </c>
      <c r="B29" s="6"/>
      <c r="C29" s="6"/>
      <c r="D29" s="6"/>
      <c r="E29" s="6"/>
      <c r="F29" s="6"/>
      <c r="G29" s="6" t="s">
        <v>98</v>
      </c>
      <c r="H29" s="6"/>
      <c r="I29" s="6"/>
      <c r="J29" s="6"/>
      <c r="K29" s="6"/>
      <c r="L29" s="6"/>
    </row>
    <row r="30" spans="1:14" x14ac:dyDescent="0.25">
      <c r="A30" s="6" t="s">
        <v>99</v>
      </c>
      <c r="B30" s="6"/>
      <c r="C30" s="6"/>
      <c r="D30" s="6"/>
      <c r="E30" s="6"/>
      <c r="F30" s="6"/>
      <c r="G30" s="6"/>
      <c r="H30" s="6"/>
      <c r="I30" s="6"/>
      <c r="J30" s="6"/>
      <c r="K30" s="6"/>
      <c r="L30" s="6"/>
    </row>
    <row r="31" spans="1:14" x14ac:dyDescent="0.25">
      <c r="A31" s="5" t="s">
        <v>100</v>
      </c>
      <c r="B31" s="5"/>
      <c r="C31" s="5"/>
      <c r="D31" s="5"/>
      <c r="E31" s="5"/>
      <c r="F31" s="5"/>
      <c r="G31" s="5"/>
      <c r="H31" s="5"/>
      <c r="I31" s="5"/>
      <c r="J31" s="5"/>
      <c r="K31" s="5"/>
      <c r="L31" s="5"/>
    </row>
    <row r="32" spans="1:14" ht="84.95" customHeight="1" x14ac:dyDescent="0.25">
      <c r="A32" s="6" t="s">
        <v>101</v>
      </c>
      <c r="B32" s="6"/>
      <c r="C32" s="6"/>
      <c r="D32" s="6"/>
      <c r="E32" s="6"/>
      <c r="F32" s="6"/>
      <c r="G32" s="6"/>
      <c r="H32" s="6"/>
      <c r="I32" s="6"/>
      <c r="J32" s="6"/>
      <c r="K32" s="6"/>
      <c r="L32" s="6"/>
    </row>
    <row r="33" spans="1:12" x14ac:dyDescent="0.25">
      <c r="A33" s="7" t="s">
        <v>102</v>
      </c>
      <c r="B33" s="7"/>
      <c r="C33" s="7"/>
      <c r="D33" s="7"/>
      <c r="E33" s="7"/>
      <c r="F33" s="7"/>
      <c r="G33" s="28" t="s">
        <v>103</v>
      </c>
      <c r="H33" s="28"/>
      <c r="I33" s="28"/>
      <c r="J33" s="28"/>
      <c r="K33" s="28"/>
      <c r="L33" s="28"/>
    </row>
    <row r="34" spans="1:12" x14ac:dyDescent="0.25">
      <c r="A34" s="5" t="s">
        <v>104</v>
      </c>
      <c r="B34" s="5"/>
      <c r="C34" s="5"/>
      <c r="D34" s="5"/>
      <c r="E34" s="5"/>
      <c r="F34" s="5"/>
      <c r="G34" s="5"/>
      <c r="H34" s="5"/>
      <c r="I34" s="5"/>
      <c r="J34" s="5"/>
      <c r="K34" s="5"/>
      <c r="L34" s="5"/>
    </row>
    <row r="35" spans="1:12" ht="30" customHeight="1" x14ac:dyDescent="0.25">
      <c r="A35" s="6" t="s">
        <v>105</v>
      </c>
      <c r="B35" s="6"/>
      <c r="C35" s="6"/>
      <c r="D35" s="6"/>
      <c r="E35" s="6"/>
      <c r="F35" s="6"/>
      <c r="G35" s="6"/>
      <c r="H35" s="6"/>
      <c r="I35" s="6"/>
      <c r="J35" s="6"/>
      <c r="K35" s="6"/>
      <c r="L35" s="6"/>
    </row>
    <row r="36" spans="1:12" x14ac:dyDescent="0.25">
      <c r="A36" s="6" t="s">
        <v>106</v>
      </c>
      <c r="B36" s="6"/>
      <c r="C36" s="6"/>
      <c r="D36" s="6"/>
      <c r="E36" s="6"/>
      <c r="F36" s="6"/>
      <c r="G36" s="28" t="s">
        <v>107</v>
      </c>
      <c r="H36" s="28"/>
      <c r="I36" s="28"/>
      <c r="J36" s="28"/>
      <c r="K36" s="28"/>
      <c r="L36" s="28"/>
    </row>
    <row r="37" spans="1:12" ht="27.95" customHeight="1" x14ac:dyDescent="0.25">
      <c r="A37" s="29" t="s">
        <v>108</v>
      </c>
      <c r="B37" s="29"/>
      <c r="C37" s="29"/>
      <c r="D37" s="29"/>
      <c r="E37" s="29"/>
      <c r="F37" s="29"/>
      <c r="G37" s="29"/>
      <c r="H37" s="29"/>
      <c r="I37" s="29"/>
      <c r="J37" s="29"/>
      <c r="K37" s="29"/>
      <c r="L37" s="29"/>
    </row>
  </sheetData>
  <mergeCells count="73">
    <mergeCell ref="A36:F36"/>
    <mergeCell ref="G36:L36"/>
    <mergeCell ref="A37:L37"/>
    <mergeCell ref="A31:L31"/>
    <mergeCell ref="A32:L32"/>
    <mergeCell ref="A33:F33"/>
    <mergeCell ref="G33:L33"/>
    <mergeCell ref="A34:L34"/>
    <mergeCell ref="A35:L35"/>
    <mergeCell ref="A18:L18"/>
    <mergeCell ref="A19:L19"/>
    <mergeCell ref="M19:N19"/>
    <mergeCell ref="A26:F26"/>
    <mergeCell ref="A28:L28"/>
    <mergeCell ref="A29:F29"/>
    <mergeCell ref="G29:L30"/>
    <mergeCell ref="A30:F30"/>
    <mergeCell ref="A16:C16"/>
    <mergeCell ref="D16:F16"/>
    <mergeCell ref="G16:H16"/>
    <mergeCell ref="I16:L16"/>
    <mergeCell ref="A17:C17"/>
    <mergeCell ref="D17:F17"/>
    <mergeCell ref="G17:H17"/>
    <mergeCell ref="I17:L17"/>
    <mergeCell ref="A14:C14"/>
    <mergeCell ref="D14:F14"/>
    <mergeCell ref="G14:H14"/>
    <mergeCell ref="I14:L14"/>
    <mergeCell ref="A15:C15"/>
    <mergeCell ref="D15:F15"/>
    <mergeCell ref="G15:H15"/>
    <mergeCell ref="I15:L15"/>
    <mergeCell ref="A12:C12"/>
    <mergeCell ref="D12:F12"/>
    <mergeCell ref="G12:H12"/>
    <mergeCell ref="I12:L12"/>
    <mergeCell ref="A13:C13"/>
    <mergeCell ref="D13:F13"/>
    <mergeCell ref="G13:H13"/>
    <mergeCell ref="I13:L13"/>
    <mergeCell ref="A10:C10"/>
    <mergeCell ref="D10:F10"/>
    <mergeCell ref="G10:H10"/>
    <mergeCell ref="I10:L10"/>
    <mergeCell ref="A11:C11"/>
    <mergeCell ref="D11:F11"/>
    <mergeCell ref="G11:H11"/>
    <mergeCell ref="I11:L11"/>
    <mergeCell ref="A8:C8"/>
    <mergeCell ref="D8:F8"/>
    <mergeCell ref="G8:H8"/>
    <mergeCell ref="I8:L8"/>
    <mergeCell ref="A9:C9"/>
    <mergeCell ref="D9:F9"/>
    <mergeCell ref="G9:H9"/>
    <mergeCell ref="I9:L9"/>
    <mergeCell ref="A6:C6"/>
    <mergeCell ref="D6:F6"/>
    <mergeCell ref="G6:H6"/>
    <mergeCell ref="I6:L6"/>
    <mergeCell ref="A7:C7"/>
    <mergeCell ref="D7:F7"/>
    <mergeCell ref="G7:H7"/>
    <mergeCell ref="I7:L7"/>
    <mergeCell ref="A1:L1"/>
    <mergeCell ref="A2:L2"/>
    <mergeCell ref="A3:L3"/>
    <mergeCell ref="A4:L4"/>
    <mergeCell ref="A5:C5"/>
    <mergeCell ref="D5:F5"/>
    <mergeCell ref="G5:H5"/>
    <mergeCell ref="I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EDF Dummy -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Jha - SMC A/c</dc:creator>
  <cp:lastModifiedBy>Suraj Jha - SMC A/c</cp:lastModifiedBy>
  <dcterms:created xsi:type="dcterms:W3CDTF">2026-10-13T07:29:59Z</dcterms:created>
  <dcterms:modified xsi:type="dcterms:W3CDTF">2026-10-13T07:30:22Z</dcterms:modified>
</cp:coreProperties>
</file>